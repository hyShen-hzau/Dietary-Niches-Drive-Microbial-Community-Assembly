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49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<sst xmlns="http://schemas.openxmlformats.org/spreadsheetml/2006/main" count="576" uniqueCount="90">
  <si>
    <t>MC9</t>
  </si>
  <si>
    <t>MF6</t>
  </si>
  <si>
    <t>PF9</t>
  </si>
  <si>
    <t>SB1</t>
  </si>
  <si>
    <t>SF1</t>
  </si>
  <si>
    <t>PEN</t>
  </si>
  <si>
    <t>AMP</t>
  </si>
  <si>
    <t>PIP</t>
  </si>
  <si>
    <t>CN</t>
  </si>
  <si>
    <t>CZ</t>
  </si>
  <si>
    <t>CXM</t>
  </si>
  <si>
    <t>CAZ</t>
  </si>
  <si>
    <t>CTR</t>
  </si>
  <si>
    <t>CPZ</t>
  </si>
  <si>
    <t>AMK</t>
  </si>
  <si>
    <t>GEN</t>
  </si>
  <si>
    <t>KAN</t>
  </si>
  <si>
    <t>S</t>
  </si>
  <si>
    <t>TET</t>
  </si>
  <si>
    <t>MI</t>
  </si>
  <si>
    <t>E</t>
  </si>
  <si>
    <t>MY</t>
  </si>
  <si>
    <t>VAN</t>
  </si>
  <si>
    <t>PB</t>
  </si>
  <si>
    <t>DO</t>
  </si>
  <si>
    <t>抗生素类别</t>
  </si>
  <si>
    <t>药物名称</t>
  </si>
  <si>
    <t>缩写</t>
  </si>
  <si>
    <t>类别</t>
  </si>
  <si>
    <t>名称</t>
  </si>
  <si>
    <t>氨基糖苷类</t>
  </si>
  <si>
    <t>庆大霉素</t>
  </si>
  <si>
    <t>R</t>
  </si>
  <si>
    <t>I</t>
  </si>
  <si>
    <t>卡那霉素</t>
  </si>
  <si>
    <t>链霉素</t>
  </si>
  <si>
    <t>阿米卡星</t>
  </si>
  <si>
    <t>大环内酯类</t>
  </si>
  <si>
    <t>红霉素</t>
  </si>
  <si>
    <t>青霉素类</t>
  </si>
  <si>
    <t>青霉素</t>
  </si>
  <si>
    <t>氨苄西林</t>
  </si>
  <si>
    <t>哌拉西林</t>
  </si>
  <si>
    <t>四环素类</t>
  </si>
  <si>
    <t>四环素</t>
  </si>
  <si>
    <t>强力霉素</t>
  </si>
  <si>
    <t>米诺环素</t>
  </si>
  <si>
    <t>脂肽类</t>
  </si>
  <si>
    <t>多粘菌素B</t>
  </si>
  <si>
    <t>糖肽类</t>
  </si>
  <si>
    <t>万古霉素</t>
  </si>
  <si>
    <t>头孢类</t>
  </si>
  <si>
    <t>头孢氨苄</t>
  </si>
  <si>
    <t>头孢唑啉</t>
  </si>
  <si>
    <t>头孢呋辛钠</t>
  </si>
  <si>
    <t>头孢他啶</t>
  </si>
  <si>
    <t>头孢曲松</t>
  </si>
  <si>
    <t>头孢哌酮</t>
  </si>
  <si>
    <t>林可酰胺类</t>
  </si>
  <si>
    <t>克林霉素</t>
  </si>
  <si>
    <t>name</t>
  </si>
  <si>
    <t>Group</t>
  </si>
  <si>
    <t>Gentamicin</t>
  </si>
  <si>
    <t>Aminoglycosides</t>
  </si>
  <si>
    <t>Kanamycin</t>
  </si>
  <si>
    <t>Streptomycin</t>
  </si>
  <si>
    <t>Amikacin</t>
  </si>
  <si>
    <t>Erythromycin</t>
  </si>
  <si>
    <t>Macrolides</t>
  </si>
  <si>
    <t>Penicillin</t>
  </si>
  <si>
    <t>Penicillins</t>
  </si>
  <si>
    <t>Ampicillin</t>
  </si>
  <si>
    <t>Piperacillin</t>
  </si>
  <si>
    <t>Tetracycline</t>
  </si>
  <si>
    <t>Tetracyclines</t>
  </si>
  <si>
    <t>Doxycycline</t>
  </si>
  <si>
    <t>Minocycline</t>
  </si>
  <si>
    <t>Polymyxin B</t>
  </si>
  <si>
    <t>Polymyxins</t>
  </si>
  <si>
    <t>Vancomycin</t>
  </si>
  <si>
    <t>Glycopeptides</t>
  </si>
  <si>
    <t>Cephalexin</t>
  </si>
  <si>
    <t>Cephalosporins</t>
  </si>
  <si>
    <t>Cefazolin</t>
  </si>
  <si>
    <t>Cefuroxime</t>
  </si>
  <si>
    <t>Ceftazidime</t>
  </si>
  <si>
    <t>Ceftriaxone</t>
  </si>
  <si>
    <t>Cefoperazone</t>
  </si>
  <si>
    <t>Clindamycin</t>
  </si>
  <si>
    <t>Lincosamides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</si>
</sst>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name val="Times New Roman"/>
      <charset val="134"/>
    </font>
    <font>
      <sz val="1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176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horizont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176" fontId="6" fillId="0" borderId="0" xfId="0" applyNumberFormat="1" applyFont="1">
      <alignment vertical="center"/>
    </xf>
    <xf numFmtId="0" fontId="0" fillId="0" borderId="1" xfId="0" applyBorder="1">
      <alignment vertical="center"/>
    </xf>
    <xf numFmtId="176" fontId="2" fillId="0" borderId="1" xfId="0" applyNumberFormat="1" applyFont="1" applyBorder="1">
      <alignment vertical="center"/>
    </xf>
    <xf numFmtId="176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43"/>
  <sheetViews>
    <sheetView topLeftCell="B13" workbookViewId="0">
      <selection activeCell="D102" sqref="D102"/>
    </sheetView>
  </sheetViews>
  <sheetFormatPr defaultColWidth="9" defaultRowHeight="13.5"/>
  <cols>
    <col min="4" max="4" width="11.8916666666667" customWidth="1"/>
    <col min="6" max="6" width="9" style="2"/>
    <col min="7" max="9" width="12.8916666666667"/>
    <col min="10" max="10" width="12.8916666666667" style="2"/>
    <col min="14" max="14" width="12.8916666666667" style="2"/>
    <col min="18" max="18" width="12.8916666666667" style="2"/>
    <col min="22" max="22" width="12.8916666666667" style="2"/>
  </cols>
  <sheetData>
    <row r="1" spans="2:32">
      <c r="C1" t="s">
        <v>0</v>
      </c>
      <c r="G1" t="s">
        <v>1</v>
      </c>
      <c r="K1" t="s">
        <v>2</v>
      </c>
      <c r="O1" t="s">
        <v>3</v>
      </c>
      <c r="S1" t="s">
        <v>4</v>
      </c>
    </row>
    <row r="2" spans="2:32">
      <c r="B2" s="9" t="s">
        <v>5</v>
      </c>
      <c r="C2" s="9">
        <v>18.39</v>
      </c>
      <c r="D2" s="9">
        <v>18.56</v>
      </c>
      <c r="E2" s="10">
        <v>18.97</v>
      </c>
      <c r="F2" s="11">
        <f>AVERAGE(C2:E2)</f>
        <v>18.64</v>
      </c>
      <c r="G2" s="12">
        <v>8.78</v>
      </c>
      <c r="H2" s="10">
        <v>7.59</v>
      </c>
      <c r="I2" s="10">
        <v>8.97</v>
      </c>
      <c r="J2" s="2">
        <f>AVERAGE(G2:I2)</f>
        <v>8.44666666666667</v>
      </c>
      <c r="K2" s="13">
        <v>13.1</v>
      </c>
      <c r="L2" s="10">
        <v>12.37</v>
      </c>
      <c r="M2" s="12">
        <v>11.9</v>
      </c>
      <c r="N2" s="11">
        <f>AVERAGE(K2:M2)</f>
        <v>12.4566666666667</v>
      </c>
      <c r="O2" s="10">
        <v>24.9</v>
      </c>
      <c r="P2">
        <v>27.9</v>
      </c>
      <c r="Q2">
        <v>27.88</v>
      </c>
      <c r="R2" s="2">
        <f>AVERAGE(O2:Q2)</f>
        <v>26.8933333333333</v>
      </c>
      <c r="S2" s="9">
        <v>29.09</v>
      </c>
      <c r="T2">
        <v>28.34</v>
      </c>
      <c r="U2">
        <v>29.07</v>
      </c>
      <c r="V2" s="2">
        <f>AVERAGE(S2:U2)</f>
        <v>28.8333333333333</v>
      </c>
    </row>
    <row r="3" spans="2:32">
      <c r="B3" s="9" t="s">
        <v>6</v>
      </c>
      <c r="C3" s="9">
        <v>17.77</v>
      </c>
      <c r="D3" s="9">
        <v>17.78</v>
      </c>
      <c r="E3" s="10">
        <v>18.07</v>
      </c>
      <c r="F3" s="11">
        <f t="shared" ref="F3:F21" si="0">AVERAGE(C3:E3)</f>
        <v>17.8733333333333</v>
      </c>
      <c r="G3" s="12">
        <v>10.12</v>
      </c>
      <c r="H3" s="10">
        <v>10.57</v>
      </c>
      <c r="I3" s="10">
        <v>9.04</v>
      </c>
      <c r="J3" s="2">
        <f t="shared" ref="J3:J21" si="1">AVERAGE(G3:I3)</f>
        <v>9.91</v>
      </c>
      <c r="K3" s="13">
        <v>15.79</v>
      </c>
      <c r="L3" s="10">
        <v>14.59</v>
      </c>
      <c r="M3" s="12">
        <v>14.56</v>
      </c>
      <c r="N3" s="11">
        <f t="shared" ref="N3:N21" si="2">AVERAGE(K3:M3)</f>
        <v>14.98</v>
      </c>
      <c r="O3" s="10">
        <v>14.49</v>
      </c>
      <c r="P3">
        <v>13.17</v>
      </c>
      <c r="Q3">
        <v>12.95</v>
      </c>
      <c r="R3" s="2">
        <f t="shared" ref="R3:R21" si="3">AVERAGE(O3:Q3)</f>
        <v>13.5366666666667</v>
      </c>
      <c r="S3" s="9">
        <v>15.04</v>
      </c>
      <c r="T3">
        <v>14.9</v>
      </c>
      <c r="U3">
        <v>14.8</v>
      </c>
      <c r="V3" s="2">
        <f t="shared" ref="V3:V21" si="4">AVERAGE(S3:U3)</f>
        <v>14.9133333333333</v>
      </c>
    </row>
    <row r="4" spans="2:32">
      <c r="B4" s="9" t="s">
        <v>7</v>
      </c>
      <c r="C4" s="9">
        <v>16.89</v>
      </c>
      <c r="D4" s="9">
        <v>13.62</v>
      </c>
      <c r="E4" s="10">
        <v>15</v>
      </c>
      <c r="F4" s="11">
        <f t="shared" si="0"/>
        <v>15.17</v>
      </c>
      <c r="G4" s="12">
        <v>13</v>
      </c>
      <c r="H4" s="10">
        <v>13</v>
      </c>
      <c r="I4" s="10">
        <v>13.56</v>
      </c>
      <c r="J4" s="2">
        <f t="shared" si="1"/>
        <v>13.1866666666667</v>
      </c>
      <c r="K4" s="13">
        <v>14.29</v>
      </c>
      <c r="L4" s="10">
        <v>15.96</v>
      </c>
      <c r="M4" s="12">
        <v>15.54</v>
      </c>
      <c r="N4" s="11">
        <f t="shared" si="2"/>
        <v>15.2633333333333</v>
      </c>
      <c r="O4" s="10">
        <v>13.32</v>
      </c>
      <c r="P4">
        <v>14.43</v>
      </c>
      <c r="Q4">
        <v>12.87</v>
      </c>
      <c r="R4" s="2">
        <f t="shared" si="3"/>
        <v>13.54</v>
      </c>
      <c r="S4" s="9">
        <v>13.7</v>
      </c>
      <c r="T4">
        <v>14.19</v>
      </c>
      <c r="U4">
        <v>13.8</v>
      </c>
      <c r="V4" s="2">
        <f t="shared" si="4"/>
        <v>13.8966666666667</v>
      </c>
    </row>
    <row r="5" spans="2:32">
      <c r="B5" s="9" t="s">
        <v>8</v>
      </c>
      <c r="C5" s="9">
        <v>29.84</v>
      </c>
      <c r="D5" s="9">
        <v>28.4</v>
      </c>
      <c r="E5" s="10">
        <v>30.57</v>
      </c>
      <c r="F5" s="11">
        <f t="shared" si="0"/>
        <v>29.6033333333333</v>
      </c>
      <c r="G5" s="12">
        <v>31.16</v>
      </c>
      <c r="H5" s="10">
        <v>29.52</v>
      </c>
      <c r="I5" s="10">
        <v>28.98</v>
      </c>
      <c r="J5" s="2">
        <f t="shared" si="1"/>
        <v>29.8866666666667</v>
      </c>
      <c r="K5" s="10">
        <v>29.87</v>
      </c>
      <c r="L5" s="10">
        <v>30.14</v>
      </c>
      <c r="M5" s="12">
        <v>31.13</v>
      </c>
      <c r="N5" s="11">
        <f t="shared" si="2"/>
        <v>30.38</v>
      </c>
      <c r="O5" s="13">
        <v>29.59</v>
      </c>
      <c r="P5">
        <v>28.93</v>
      </c>
      <c r="Q5">
        <v>28.8</v>
      </c>
      <c r="R5" s="2">
        <f t="shared" si="3"/>
        <v>29.1066666666667</v>
      </c>
      <c r="S5" s="14">
        <v>29.14</v>
      </c>
      <c r="T5" s="14">
        <v>28.71</v>
      </c>
      <c r="U5" s="14">
        <v>31.33</v>
      </c>
      <c r="V5" s="2">
        <f t="shared" si="4"/>
        <v>29.7266666666667</v>
      </c>
    </row>
    <row r="6" spans="2:32">
      <c r="B6" s="9" t="s">
        <v>9</v>
      </c>
      <c r="C6" s="9">
        <v>29</v>
      </c>
      <c r="D6" s="9">
        <v>28.5</v>
      </c>
      <c r="E6" s="10">
        <v>29.56</v>
      </c>
      <c r="F6" s="11">
        <f t="shared" si="0"/>
        <v>29.02</v>
      </c>
      <c r="G6" s="12">
        <v>17</v>
      </c>
      <c r="H6" s="10">
        <v>16</v>
      </c>
      <c r="I6" s="10">
        <v>16.53</v>
      </c>
      <c r="J6" s="2">
        <f t="shared" si="1"/>
        <v>16.51</v>
      </c>
      <c r="K6" s="10">
        <v>16.89</v>
      </c>
      <c r="L6" s="10">
        <v>14.9</v>
      </c>
      <c r="M6" s="12">
        <v>15.22</v>
      </c>
      <c r="N6" s="11">
        <f t="shared" si="2"/>
        <v>15.67</v>
      </c>
      <c r="O6" s="10">
        <v>15.45</v>
      </c>
      <c r="P6">
        <v>15.62</v>
      </c>
      <c r="Q6">
        <v>14.98</v>
      </c>
      <c r="R6" s="2">
        <f t="shared" si="3"/>
        <v>15.35</v>
      </c>
      <c r="S6">
        <v>16.14</v>
      </c>
      <c r="T6">
        <v>16.334</v>
      </c>
      <c r="U6">
        <v>16.48</v>
      </c>
      <c r="V6" s="2">
        <f t="shared" si="4"/>
        <v>16.318</v>
      </c>
    </row>
    <row r="7" spans="2:32">
      <c r="B7" s="9" t="s">
        <v>10</v>
      </c>
      <c r="C7" s="9">
        <v>15.28</v>
      </c>
      <c r="D7" s="9">
        <v>16.25</v>
      </c>
      <c r="E7" s="10">
        <v>16.1</v>
      </c>
      <c r="F7" s="11">
        <f t="shared" si="0"/>
        <v>15.8766666666667</v>
      </c>
      <c r="G7" s="12">
        <v>21.18</v>
      </c>
      <c r="H7" s="10">
        <v>23.7</v>
      </c>
      <c r="I7" s="10">
        <v>23.71</v>
      </c>
      <c r="J7" s="2">
        <f t="shared" si="1"/>
        <v>22.8633333333333</v>
      </c>
      <c r="K7" s="10">
        <v>21.61</v>
      </c>
      <c r="L7" s="10">
        <v>18.04</v>
      </c>
      <c r="M7" s="12">
        <v>20.92</v>
      </c>
      <c r="N7" s="11">
        <f t="shared" si="2"/>
        <v>20.19</v>
      </c>
      <c r="O7" s="10">
        <v>17.4</v>
      </c>
      <c r="P7">
        <v>16.1</v>
      </c>
      <c r="Q7">
        <v>16.59</v>
      </c>
      <c r="R7" s="2">
        <f t="shared" si="3"/>
        <v>16.6966666666667</v>
      </c>
      <c r="S7">
        <v>20.57</v>
      </c>
      <c r="T7">
        <v>19.42</v>
      </c>
      <c r="U7">
        <v>20.13</v>
      </c>
      <c r="V7" s="2">
        <f t="shared" si="4"/>
        <v>20.04</v>
      </c>
    </row>
    <row r="8" spans="2:32">
      <c r="B8" s="9" t="s">
        <v>11</v>
      </c>
      <c r="C8" s="9">
        <v>13.33</v>
      </c>
      <c r="D8" s="9">
        <v>12.66</v>
      </c>
      <c r="E8" s="10">
        <v>13.13</v>
      </c>
      <c r="F8" s="11">
        <f t="shared" si="0"/>
        <v>13.04</v>
      </c>
      <c r="G8" s="12">
        <v>16.7</v>
      </c>
      <c r="H8" s="10">
        <v>17</v>
      </c>
      <c r="I8" s="10">
        <v>17.59</v>
      </c>
      <c r="J8" s="2">
        <f t="shared" si="1"/>
        <v>17.0966666666667</v>
      </c>
      <c r="K8" s="10">
        <v>16.42</v>
      </c>
      <c r="L8" s="10">
        <v>17.3</v>
      </c>
      <c r="M8" s="12">
        <v>16.98</v>
      </c>
      <c r="N8" s="11">
        <f t="shared" si="2"/>
        <v>16.9</v>
      </c>
      <c r="O8" s="10">
        <v>15.57</v>
      </c>
      <c r="P8">
        <v>13.85</v>
      </c>
      <c r="Q8">
        <v>14.58</v>
      </c>
      <c r="R8" s="2">
        <f t="shared" si="3"/>
        <v>14.6666666666667</v>
      </c>
      <c r="S8">
        <v>15.73</v>
      </c>
      <c r="T8">
        <v>15.05</v>
      </c>
      <c r="U8">
        <v>15.97</v>
      </c>
      <c r="V8" s="2">
        <f t="shared" si="4"/>
        <v>15.5833333333333</v>
      </c>
    </row>
    <row r="9" spans="2:32">
      <c r="B9" s="9" t="s">
        <v>12</v>
      </c>
      <c r="C9" s="9">
        <v>16.03</v>
      </c>
      <c r="D9" s="9">
        <v>16.17</v>
      </c>
      <c r="E9" s="10">
        <v>16.04</v>
      </c>
      <c r="F9" s="11">
        <f t="shared" si="0"/>
        <v>16.08</v>
      </c>
      <c r="G9" s="12">
        <v>23.5</v>
      </c>
      <c r="H9" s="10">
        <v>23.49</v>
      </c>
      <c r="I9" s="10">
        <v>22.9</v>
      </c>
      <c r="J9" s="2">
        <f t="shared" si="1"/>
        <v>23.2966666666667</v>
      </c>
      <c r="K9" s="10">
        <v>29.62</v>
      </c>
      <c r="L9" s="10">
        <v>28.34</v>
      </c>
      <c r="M9" s="12">
        <v>29.64</v>
      </c>
      <c r="N9" s="11">
        <f t="shared" si="2"/>
        <v>29.2</v>
      </c>
      <c r="O9" s="10">
        <v>29.53</v>
      </c>
      <c r="P9">
        <v>28.56</v>
      </c>
      <c r="Q9">
        <v>29.04</v>
      </c>
      <c r="R9" s="2">
        <f t="shared" si="3"/>
        <v>29.0433333333333</v>
      </c>
      <c r="S9">
        <v>21.59</v>
      </c>
      <c r="T9">
        <v>22.77</v>
      </c>
      <c r="U9">
        <v>23.45</v>
      </c>
      <c r="V9" s="2">
        <f t="shared" si="4"/>
        <v>22.6033333333333</v>
      </c>
    </row>
    <row r="10" spans="2:32">
      <c r="B10" s="9" t="s">
        <v>13</v>
      </c>
      <c r="C10" s="9">
        <v>30.37</v>
      </c>
      <c r="D10" s="9">
        <v>33.01</v>
      </c>
      <c r="E10" s="10">
        <v>31.92</v>
      </c>
      <c r="F10" s="11">
        <f t="shared" si="0"/>
        <v>31.7666666666667</v>
      </c>
      <c r="G10" s="12">
        <v>29.91</v>
      </c>
      <c r="H10" s="10">
        <v>28.69</v>
      </c>
      <c r="I10" s="10">
        <v>26.5</v>
      </c>
      <c r="J10" s="2">
        <f t="shared" si="1"/>
        <v>28.3666666666667</v>
      </c>
      <c r="K10" s="10">
        <v>20.13</v>
      </c>
      <c r="L10" s="10">
        <v>22.27</v>
      </c>
      <c r="M10" s="12">
        <v>21.54</v>
      </c>
      <c r="N10" s="11">
        <f t="shared" si="2"/>
        <v>21.3133333333333</v>
      </c>
      <c r="O10" s="10">
        <v>25.51</v>
      </c>
      <c r="P10">
        <v>27</v>
      </c>
      <c r="Q10">
        <v>27.92</v>
      </c>
      <c r="R10" s="2">
        <f t="shared" si="3"/>
        <v>26.81</v>
      </c>
      <c r="S10">
        <v>24.37</v>
      </c>
      <c r="T10">
        <v>25.55</v>
      </c>
      <c r="U10">
        <v>25.54</v>
      </c>
      <c r="V10" s="2">
        <f t="shared" si="4"/>
        <v>25.1533333333333</v>
      </c>
      <c r="AA10" s="15"/>
      <c r="AB10" s="16"/>
      <c r="AC10" s="16"/>
      <c r="AD10" s="16"/>
      <c r="AE10" s="15"/>
      <c r="AF10" s="15"/>
    </row>
    <row r="11" spans="2:32">
      <c r="B11" s="9" t="s">
        <v>14</v>
      </c>
      <c r="C11" s="9">
        <v>18.98</v>
      </c>
      <c r="D11" s="9">
        <v>19.74</v>
      </c>
      <c r="E11" s="10">
        <v>18.28</v>
      </c>
      <c r="F11" s="11">
        <f t="shared" si="0"/>
        <v>19</v>
      </c>
      <c r="G11" s="12">
        <v>9.78</v>
      </c>
      <c r="H11" s="10">
        <v>9.48</v>
      </c>
      <c r="I11" s="10">
        <v>9.96</v>
      </c>
      <c r="J11" s="2">
        <f t="shared" si="1"/>
        <v>9.74</v>
      </c>
      <c r="K11" s="10">
        <v>8.21</v>
      </c>
      <c r="L11" s="10">
        <v>7.94</v>
      </c>
      <c r="M11" s="12">
        <v>6.9</v>
      </c>
      <c r="N11" s="11">
        <f t="shared" si="2"/>
        <v>7.68333333333333</v>
      </c>
      <c r="O11" s="10">
        <v>17.05</v>
      </c>
      <c r="P11">
        <v>16.51</v>
      </c>
      <c r="Q11">
        <v>16.95</v>
      </c>
      <c r="R11" s="2">
        <f t="shared" si="3"/>
        <v>16.8366666666667</v>
      </c>
      <c r="S11">
        <v>18.12</v>
      </c>
      <c r="T11">
        <v>18.58</v>
      </c>
      <c r="U11">
        <v>17.34</v>
      </c>
      <c r="V11" s="2">
        <f t="shared" si="4"/>
        <v>18.0133333333333</v>
      </c>
      <c r="AA11" s="15"/>
      <c r="AB11" s="16"/>
      <c r="AC11" s="16"/>
      <c r="AD11" s="16"/>
      <c r="AE11" s="15"/>
      <c r="AF11" s="15"/>
    </row>
    <row r="12" spans="2:32">
      <c r="B12" s="9" t="s">
        <v>15</v>
      </c>
      <c r="C12" s="9">
        <v>8.56</v>
      </c>
      <c r="D12" s="9">
        <v>8.46</v>
      </c>
      <c r="E12" s="10">
        <v>8.93</v>
      </c>
      <c r="F12" s="11">
        <f t="shared" si="0"/>
        <v>8.65</v>
      </c>
      <c r="G12" s="12">
        <v>14.28</v>
      </c>
      <c r="H12" s="10">
        <v>13.46</v>
      </c>
      <c r="I12" s="10">
        <v>14.34</v>
      </c>
      <c r="J12" s="2">
        <f t="shared" si="1"/>
        <v>14.0266666666667</v>
      </c>
      <c r="K12" s="10">
        <v>9.76</v>
      </c>
      <c r="L12" s="10">
        <v>10.74</v>
      </c>
      <c r="M12" s="12">
        <v>9.41</v>
      </c>
      <c r="N12" s="11">
        <f t="shared" si="2"/>
        <v>9.97</v>
      </c>
      <c r="O12" s="10">
        <v>11.28</v>
      </c>
      <c r="P12">
        <v>12.46</v>
      </c>
      <c r="Q12">
        <v>12.34</v>
      </c>
      <c r="R12" s="2">
        <f t="shared" si="3"/>
        <v>12.0266666666667</v>
      </c>
      <c r="S12">
        <v>15.98</v>
      </c>
      <c r="T12">
        <v>16.85</v>
      </c>
      <c r="U12">
        <v>16.54</v>
      </c>
      <c r="V12" s="2">
        <f t="shared" si="4"/>
        <v>16.4566666666667</v>
      </c>
      <c r="AA12" s="15"/>
      <c r="AB12" s="16"/>
      <c r="AC12" s="16"/>
      <c r="AD12" s="16"/>
      <c r="AE12" s="15"/>
      <c r="AF12" s="15"/>
    </row>
    <row r="13" spans="2:32">
      <c r="B13" s="9" t="s">
        <v>16</v>
      </c>
      <c r="C13" s="9">
        <v>15.74</v>
      </c>
      <c r="D13" s="9">
        <v>14.19</v>
      </c>
      <c r="E13" s="10">
        <v>15.58</v>
      </c>
      <c r="F13" s="11">
        <f t="shared" si="0"/>
        <v>15.17</v>
      </c>
      <c r="G13" s="12">
        <v>16.12</v>
      </c>
      <c r="H13" s="10">
        <v>16.94</v>
      </c>
      <c r="I13" s="10">
        <v>13.89</v>
      </c>
      <c r="J13" s="2">
        <f t="shared" si="1"/>
        <v>15.65</v>
      </c>
      <c r="K13" s="10">
        <v>12.82</v>
      </c>
      <c r="L13" s="10">
        <v>12.7</v>
      </c>
      <c r="M13" s="12">
        <v>11.88</v>
      </c>
      <c r="N13" s="11">
        <f t="shared" si="2"/>
        <v>12.4666666666667</v>
      </c>
      <c r="O13" s="10">
        <v>17.12</v>
      </c>
      <c r="P13">
        <v>16.98</v>
      </c>
      <c r="Q13">
        <v>17.68</v>
      </c>
      <c r="R13" s="2">
        <f t="shared" si="3"/>
        <v>17.26</v>
      </c>
      <c r="S13">
        <v>20.16</v>
      </c>
      <c r="T13">
        <v>19.91</v>
      </c>
      <c r="U13">
        <v>18.98</v>
      </c>
      <c r="V13" s="2">
        <f t="shared" si="4"/>
        <v>19.6833333333333</v>
      </c>
      <c r="AA13" s="15"/>
      <c r="AB13" s="16"/>
      <c r="AC13" s="16"/>
      <c r="AD13" s="16"/>
      <c r="AE13" s="15"/>
      <c r="AF13" s="15"/>
    </row>
    <row r="14" spans="2:32">
      <c r="B14" s="9" t="s">
        <v>17</v>
      </c>
      <c r="C14">
        <v>0</v>
      </c>
      <c r="D14">
        <v>0</v>
      </c>
      <c r="E14">
        <v>0</v>
      </c>
      <c r="F14" s="11">
        <f t="shared" si="0"/>
        <v>0</v>
      </c>
      <c r="G14">
        <v>0</v>
      </c>
      <c r="H14">
        <v>0</v>
      </c>
      <c r="I14">
        <v>0</v>
      </c>
      <c r="J14" s="2">
        <f t="shared" si="1"/>
        <v>0</v>
      </c>
      <c r="K14">
        <v>0</v>
      </c>
      <c r="L14">
        <v>0</v>
      </c>
      <c r="M14">
        <v>0</v>
      </c>
      <c r="N14" s="11">
        <f t="shared" si="2"/>
        <v>0</v>
      </c>
      <c r="O14">
        <v>0</v>
      </c>
      <c r="P14">
        <v>0</v>
      </c>
      <c r="Q14">
        <v>0</v>
      </c>
      <c r="R14" s="2">
        <f t="shared" si="3"/>
        <v>0</v>
      </c>
      <c r="S14">
        <v>0</v>
      </c>
      <c r="T14">
        <v>0</v>
      </c>
      <c r="U14">
        <v>0</v>
      </c>
      <c r="V14" s="2">
        <f t="shared" si="4"/>
        <v>0</v>
      </c>
      <c r="AA14" s="15"/>
      <c r="AB14" s="16"/>
      <c r="AC14" s="16"/>
      <c r="AD14" s="16"/>
      <c r="AE14" s="15"/>
      <c r="AF14" s="15"/>
    </row>
    <row r="15" spans="2:32">
      <c r="B15" s="9" t="s">
        <v>18</v>
      </c>
      <c r="C15" s="9">
        <v>31.74</v>
      </c>
      <c r="D15" s="9">
        <v>32.01</v>
      </c>
      <c r="E15" s="10">
        <v>31.97</v>
      </c>
      <c r="F15" s="11">
        <f t="shared" si="0"/>
        <v>31.9066666666667</v>
      </c>
      <c r="G15" s="12">
        <v>32.93</v>
      </c>
      <c r="H15" s="10">
        <v>32.28</v>
      </c>
      <c r="I15" s="10">
        <v>33.75</v>
      </c>
      <c r="J15" s="2">
        <f t="shared" si="1"/>
        <v>32.9866666666667</v>
      </c>
      <c r="K15" s="10">
        <v>16.51</v>
      </c>
      <c r="L15" s="12">
        <v>18.23</v>
      </c>
      <c r="M15" s="12">
        <v>19.58</v>
      </c>
      <c r="N15" s="11">
        <f t="shared" si="2"/>
        <v>18.1066666666667</v>
      </c>
      <c r="O15" s="10">
        <v>31.48</v>
      </c>
      <c r="P15">
        <v>33.39</v>
      </c>
      <c r="Q15">
        <v>30.39</v>
      </c>
      <c r="R15" s="2">
        <f t="shared" si="3"/>
        <v>31.7533333333333</v>
      </c>
      <c r="S15">
        <v>34.74</v>
      </c>
      <c r="T15">
        <v>37.35</v>
      </c>
      <c r="U15">
        <v>34.16</v>
      </c>
      <c r="V15" s="2">
        <f t="shared" si="4"/>
        <v>35.4166666666667</v>
      </c>
      <c r="AA15" s="15"/>
      <c r="AB15" s="16"/>
      <c r="AC15" s="16"/>
      <c r="AD15" s="16"/>
      <c r="AE15" s="15"/>
      <c r="AF15" s="15"/>
    </row>
    <row r="16" spans="2:32">
      <c r="B16" s="9" t="s">
        <v>19</v>
      </c>
      <c r="C16" s="9">
        <v>28.3</v>
      </c>
      <c r="D16" s="9">
        <v>25.9</v>
      </c>
      <c r="E16" s="10">
        <v>24.88</v>
      </c>
      <c r="F16" s="11">
        <f t="shared" si="0"/>
        <v>26.36</v>
      </c>
      <c r="G16" s="12">
        <v>25.81</v>
      </c>
      <c r="H16" s="10">
        <v>24.94</v>
      </c>
      <c r="I16" s="10">
        <v>24.31</v>
      </c>
      <c r="J16" s="2">
        <f t="shared" si="1"/>
        <v>25.02</v>
      </c>
      <c r="K16" s="10">
        <v>20.85</v>
      </c>
      <c r="L16" s="10">
        <v>20.41</v>
      </c>
      <c r="M16" s="12">
        <v>20.24</v>
      </c>
      <c r="N16" s="11">
        <f t="shared" si="2"/>
        <v>20.5</v>
      </c>
      <c r="O16" s="10">
        <v>26.87</v>
      </c>
      <c r="P16">
        <v>26.51</v>
      </c>
      <c r="Q16">
        <v>25.78</v>
      </c>
      <c r="R16" s="2">
        <f t="shared" si="3"/>
        <v>26.3866666666667</v>
      </c>
      <c r="S16">
        <v>24.07</v>
      </c>
      <c r="T16">
        <v>24.47</v>
      </c>
      <c r="U16">
        <v>26.08</v>
      </c>
      <c r="V16" s="2">
        <f t="shared" si="4"/>
        <v>24.8733333333333</v>
      </c>
      <c r="AA16" s="15"/>
      <c r="AB16" s="16"/>
      <c r="AC16" s="16"/>
      <c r="AD16" s="16"/>
      <c r="AE16" s="15"/>
      <c r="AF16" s="15"/>
    </row>
    <row r="17" spans="2:32">
      <c r="B17" s="9" t="s">
        <v>20</v>
      </c>
      <c r="C17" s="9">
        <v>9.47</v>
      </c>
      <c r="D17" s="9">
        <v>9.94</v>
      </c>
      <c r="E17" s="10">
        <v>10.7</v>
      </c>
      <c r="F17" s="11">
        <f t="shared" si="0"/>
        <v>10.0366666666667</v>
      </c>
      <c r="G17" s="12">
        <v>0</v>
      </c>
      <c r="H17" s="10">
        <v>0</v>
      </c>
      <c r="I17" s="10">
        <v>0</v>
      </c>
      <c r="J17" s="2">
        <f t="shared" si="1"/>
        <v>0</v>
      </c>
      <c r="K17" s="10">
        <v>0</v>
      </c>
      <c r="L17" s="10">
        <v>0</v>
      </c>
      <c r="M17" s="10">
        <v>0</v>
      </c>
      <c r="N17" s="11">
        <f t="shared" si="2"/>
        <v>0</v>
      </c>
      <c r="O17" s="10">
        <v>0</v>
      </c>
      <c r="P17" s="9">
        <v>0</v>
      </c>
      <c r="Q17">
        <v>0</v>
      </c>
      <c r="R17" s="2">
        <f t="shared" si="3"/>
        <v>0</v>
      </c>
      <c r="S17">
        <v>10.24</v>
      </c>
      <c r="T17">
        <v>10.69</v>
      </c>
      <c r="U17">
        <v>11.32</v>
      </c>
      <c r="V17" s="2">
        <f t="shared" si="4"/>
        <v>10.75</v>
      </c>
      <c r="AA17" s="15"/>
      <c r="AB17" s="16"/>
      <c r="AC17" s="16"/>
      <c r="AD17" s="16"/>
      <c r="AE17" s="15"/>
      <c r="AF17" s="15"/>
    </row>
    <row r="18" spans="2:32">
      <c r="B18" s="9" t="s">
        <v>21</v>
      </c>
      <c r="C18" s="9">
        <v>19.81</v>
      </c>
      <c r="D18" s="9">
        <v>19.54</v>
      </c>
      <c r="E18" s="10">
        <v>19.82</v>
      </c>
      <c r="F18" s="11">
        <f t="shared" si="0"/>
        <v>19.7233333333333</v>
      </c>
      <c r="G18" s="12">
        <v>16.45</v>
      </c>
      <c r="H18" s="10">
        <v>16.93</v>
      </c>
      <c r="I18" s="10">
        <v>16.52</v>
      </c>
      <c r="J18" s="2">
        <f t="shared" si="1"/>
        <v>16.6333333333333</v>
      </c>
      <c r="K18" s="10">
        <v>0</v>
      </c>
      <c r="L18" s="10">
        <v>0</v>
      </c>
      <c r="M18" s="10">
        <v>0</v>
      </c>
      <c r="N18" s="11">
        <f t="shared" si="2"/>
        <v>0</v>
      </c>
      <c r="O18" s="10">
        <v>18.82</v>
      </c>
      <c r="P18">
        <v>18.5</v>
      </c>
      <c r="Q18">
        <v>18.09</v>
      </c>
      <c r="R18" s="2">
        <f t="shared" si="3"/>
        <v>18.47</v>
      </c>
      <c r="S18">
        <v>19.89</v>
      </c>
      <c r="T18">
        <v>18.65</v>
      </c>
      <c r="U18">
        <v>18.49</v>
      </c>
      <c r="V18" s="2">
        <f t="shared" si="4"/>
        <v>19.01</v>
      </c>
      <c r="AA18" s="15"/>
      <c r="AB18" s="16"/>
      <c r="AC18" s="16"/>
      <c r="AD18" s="16"/>
      <c r="AE18" s="15"/>
      <c r="AF18" s="15"/>
    </row>
    <row r="19" spans="2:32">
      <c r="B19" s="9" t="s">
        <v>22</v>
      </c>
      <c r="C19" s="9">
        <v>0</v>
      </c>
      <c r="D19" s="9">
        <v>0</v>
      </c>
      <c r="E19" s="10">
        <v>0</v>
      </c>
      <c r="F19" s="11">
        <f t="shared" si="0"/>
        <v>0</v>
      </c>
      <c r="G19" s="12">
        <v>0</v>
      </c>
      <c r="H19" s="10">
        <v>0</v>
      </c>
      <c r="I19" s="10">
        <v>0</v>
      </c>
      <c r="J19" s="2">
        <f t="shared" si="1"/>
        <v>0</v>
      </c>
      <c r="K19" s="10">
        <v>0</v>
      </c>
      <c r="L19" s="10">
        <v>0</v>
      </c>
      <c r="M19" s="10">
        <v>0</v>
      </c>
      <c r="N19" s="11">
        <f t="shared" si="2"/>
        <v>0</v>
      </c>
      <c r="O19" s="10">
        <v>0</v>
      </c>
      <c r="P19">
        <v>0</v>
      </c>
      <c r="Q19">
        <v>0</v>
      </c>
      <c r="R19" s="2">
        <f t="shared" si="3"/>
        <v>0</v>
      </c>
      <c r="S19">
        <v>0</v>
      </c>
      <c r="T19">
        <v>0</v>
      </c>
      <c r="U19">
        <v>0</v>
      </c>
      <c r="V19" s="2">
        <f t="shared" si="4"/>
        <v>0</v>
      </c>
      <c r="AA19" s="15"/>
      <c r="AB19" s="16"/>
      <c r="AC19" s="16"/>
      <c r="AD19" s="16"/>
      <c r="AE19" s="15"/>
      <c r="AF19" s="15"/>
    </row>
    <row r="20" spans="2:32">
      <c r="B20" s="9" t="s">
        <v>23</v>
      </c>
      <c r="C20" s="9">
        <v>30.72</v>
      </c>
      <c r="D20" s="9">
        <v>34.48</v>
      </c>
      <c r="E20" s="10">
        <v>32.18</v>
      </c>
      <c r="F20" s="11">
        <f t="shared" si="0"/>
        <v>32.46</v>
      </c>
      <c r="G20" s="12">
        <v>13.15</v>
      </c>
      <c r="H20" s="12">
        <v>12.87</v>
      </c>
      <c r="I20" s="12">
        <v>12.76</v>
      </c>
      <c r="J20" s="2">
        <f t="shared" si="1"/>
        <v>12.9266666666667</v>
      </c>
      <c r="K20" s="10">
        <v>15.49</v>
      </c>
      <c r="L20" s="10">
        <v>13.98</v>
      </c>
      <c r="M20" s="12">
        <v>14.28</v>
      </c>
      <c r="N20" s="11">
        <f t="shared" si="2"/>
        <v>14.5833333333333</v>
      </c>
      <c r="O20" s="10">
        <v>12.85</v>
      </c>
      <c r="P20">
        <v>14.63</v>
      </c>
      <c r="Q20">
        <v>15.56</v>
      </c>
      <c r="R20" s="2">
        <f t="shared" si="3"/>
        <v>14.3466666666667</v>
      </c>
      <c r="S20">
        <v>14.64</v>
      </c>
      <c r="T20">
        <v>14.98</v>
      </c>
      <c r="U20">
        <v>13.99</v>
      </c>
      <c r="V20" s="2">
        <f t="shared" si="4"/>
        <v>14.5366666666667</v>
      </c>
      <c r="AA20" s="15"/>
      <c r="AB20" s="16"/>
      <c r="AC20" s="16"/>
      <c r="AD20" s="16"/>
      <c r="AE20" s="15"/>
      <c r="AF20" s="15"/>
    </row>
    <row r="21" spans="2:32">
      <c r="B21" s="9" t="s">
        <v>24</v>
      </c>
      <c r="C21" s="9">
        <v>27.54</v>
      </c>
      <c r="D21" s="9">
        <v>27.17</v>
      </c>
      <c r="E21" s="10">
        <v>29.11</v>
      </c>
      <c r="F21" s="11">
        <f t="shared" si="0"/>
        <v>27.94</v>
      </c>
      <c r="G21" s="12">
        <v>25.67</v>
      </c>
      <c r="H21" s="10">
        <v>25.94</v>
      </c>
      <c r="I21" s="10">
        <v>24.8</v>
      </c>
      <c r="J21" s="2">
        <f t="shared" si="1"/>
        <v>25.47</v>
      </c>
      <c r="K21" s="10">
        <v>17.54</v>
      </c>
      <c r="L21" s="10">
        <v>18.17</v>
      </c>
      <c r="M21" s="12">
        <v>19.51</v>
      </c>
      <c r="N21" s="11">
        <f t="shared" si="2"/>
        <v>18.4066666666667</v>
      </c>
      <c r="O21" s="10">
        <v>25.67</v>
      </c>
      <c r="P21">
        <v>25.26</v>
      </c>
      <c r="Q21">
        <v>24.6</v>
      </c>
      <c r="R21" s="2">
        <f t="shared" si="3"/>
        <v>25.1766666666667</v>
      </c>
      <c r="S21">
        <v>25.83</v>
      </c>
      <c r="T21">
        <v>24.91</v>
      </c>
      <c r="U21">
        <v>23.55</v>
      </c>
      <c r="V21" s="2">
        <f t="shared" si="4"/>
        <v>24.7633333333333</v>
      </c>
      <c r="AA21" s="15"/>
      <c r="AB21" s="16"/>
      <c r="AC21" s="16"/>
      <c r="AD21" s="16"/>
      <c r="AE21" s="15"/>
      <c r="AF21" s="15"/>
    </row>
    <row r="22" spans="2:32">
      <c r="AA22" s="15"/>
      <c r="AB22" s="16"/>
      <c r="AC22" s="16"/>
      <c r="AD22" s="16"/>
      <c r="AE22" s="15"/>
      <c r="AF22" s="15"/>
    </row>
    <row r="23" spans="2:32">
      <c r="C23" t="s">
        <v>25</v>
      </c>
      <c r="D23" t="s">
        <v>26</v>
      </c>
      <c r="E23" s="17" t="s">
        <v>27</v>
      </c>
      <c r="F23" t="s">
        <v>0</v>
      </c>
      <c r="G23" t="s">
        <v>0</v>
      </c>
      <c r="H23" t="s">
        <v>1</v>
      </c>
      <c r="I23" t="s">
        <v>1</v>
      </c>
      <c r="J23" t="s">
        <v>2</v>
      </c>
      <c r="K23" t="s">
        <v>2</v>
      </c>
      <c r="L23" s="2" t="s">
        <v>3</v>
      </c>
      <c r="M23" s="2" t="s">
        <v>3</v>
      </c>
      <c r="N23" t="s">
        <v>4</v>
      </c>
      <c r="O23" t="s">
        <v>4</v>
      </c>
      <c r="P23" s="13"/>
      <c r="Q23" s="18" t="s">
        <v>28</v>
      </c>
      <c r="R23" s="18" t="s">
        <v>29</v>
      </c>
      <c r="S23" s="19" t="s">
        <v>27</v>
      </c>
      <c r="T23" s="18" t="s">
        <v>0</v>
      </c>
      <c r="U23" s="18" t="s">
        <v>1</v>
      </c>
      <c r="V23" s="18" t="s">
        <v>2</v>
      </c>
      <c r="W23" s="19" t="s">
        <v>3</v>
      </c>
      <c r="X23" s="18" t="s">
        <v>4</v>
      </c>
    </row>
    <row r="24" spans="2:32">
      <c r="C24" t="s">
        <v>30</v>
      </c>
      <c r="D24" t="s">
        <v>31</v>
      </c>
      <c r="E24" s="17" t="s">
        <v>15</v>
      </c>
      <c r="F24" s="17">
        <v>8.65</v>
      </c>
      <c r="G24" s="17" t="s">
        <v>32</v>
      </c>
      <c r="H24" s="17">
        <v>14.0266666666667</v>
      </c>
      <c r="I24" s="17" t="s">
        <v>33</v>
      </c>
      <c r="J24" s="17">
        <v>9.97</v>
      </c>
      <c r="K24" s="17" t="s">
        <v>32</v>
      </c>
      <c r="L24" s="17">
        <v>12.0266666666667</v>
      </c>
      <c r="M24" s="17" t="s">
        <v>32</v>
      </c>
      <c r="N24" s="17">
        <v>16.4566666666667</v>
      </c>
      <c r="O24" t="s">
        <v>17</v>
      </c>
      <c r="P24" s="13"/>
      <c r="Q24" s="18" t="s">
        <v>30</v>
      </c>
      <c r="R24" s="18" t="s">
        <v>31</v>
      </c>
      <c r="S24" s="19" t="s">
        <v>15</v>
      </c>
      <c r="T24" s="20" t="s">
        <v>32</v>
      </c>
      <c r="U24" s="20" t="s">
        <v>33</v>
      </c>
      <c r="V24" s="20" t="s">
        <v>32</v>
      </c>
      <c r="W24" s="20" t="s">
        <v>32</v>
      </c>
      <c r="X24" s="18" t="s">
        <v>17</v>
      </c>
    </row>
    <row r="25" spans="2:32">
      <c r="C25" t="s">
        <v>30</v>
      </c>
      <c r="D25" t="s">
        <v>34</v>
      </c>
      <c r="E25" s="10" t="s">
        <v>16</v>
      </c>
      <c r="F25" s="17">
        <v>15.17</v>
      </c>
      <c r="G25" s="17" t="s">
        <v>33</v>
      </c>
      <c r="H25" s="17">
        <v>15.65</v>
      </c>
      <c r="I25" s="17" t="s">
        <v>33</v>
      </c>
      <c r="J25" s="17">
        <v>12.4666666666667</v>
      </c>
      <c r="K25" s="17" t="s">
        <v>32</v>
      </c>
      <c r="L25" s="17">
        <v>17.26</v>
      </c>
      <c r="M25" s="17" t="s">
        <v>33</v>
      </c>
      <c r="N25" s="17">
        <v>19.6833333333333</v>
      </c>
      <c r="O25" t="s">
        <v>17</v>
      </c>
      <c r="Q25" s="18" t="s">
        <v>30</v>
      </c>
      <c r="R25" s="18" t="s">
        <v>34</v>
      </c>
      <c r="S25" s="21" t="s">
        <v>16</v>
      </c>
      <c r="T25" s="20" t="s">
        <v>33</v>
      </c>
      <c r="U25" s="20" t="s">
        <v>33</v>
      </c>
      <c r="V25" s="20" t="s">
        <v>32</v>
      </c>
      <c r="W25" s="20" t="s">
        <v>33</v>
      </c>
      <c r="X25" s="18" t="s">
        <v>17</v>
      </c>
    </row>
    <row r="26" spans="2:32">
      <c r="C26" t="s">
        <v>30</v>
      </c>
      <c r="D26" t="s">
        <v>35</v>
      </c>
      <c r="E26" s="10" t="s">
        <v>17</v>
      </c>
      <c r="F26" s="17">
        <v>0</v>
      </c>
      <c r="G26" s="17" t="s">
        <v>32</v>
      </c>
      <c r="H26" s="17">
        <v>0</v>
      </c>
      <c r="I26" s="17" t="s">
        <v>32</v>
      </c>
      <c r="J26" s="17">
        <v>0</v>
      </c>
      <c r="K26" s="17" t="s">
        <v>32</v>
      </c>
      <c r="L26" s="17">
        <v>0</v>
      </c>
      <c r="M26" s="17" t="s">
        <v>32</v>
      </c>
      <c r="N26" s="17">
        <v>0</v>
      </c>
      <c r="O26" s="17" t="s">
        <v>32</v>
      </c>
      <c r="Q26" s="18" t="s">
        <v>30</v>
      </c>
      <c r="R26" s="18" t="s">
        <v>35</v>
      </c>
      <c r="S26" s="21" t="s">
        <v>17</v>
      </c>
      <c r="T26" s="20" t="s">
        <v>32</v>
      </c>
      <c r="U26" s="20" t="s">
        <v>32</v>
      </c>
      <c r="V26" s="20" t="s">
        <v>32</v>
      </c>
      <c r="W26" s="20" t="s">
        <v>32</v>
      </c>
      <c r="X26" s="20" t="s">
        <v>32</v>
      </c>
    </row>
    <row r="27" spans="2:32">
      <c r="C27" t="s">
        <v>30</v>
      </c>
      <c r="D27" t="s">
        <v>36</v>
      </c>
      <c r="E27" s="10" t="s">
        <v>14</v>
      </c>
      <c r="F27" s="17">
        <v>19</v>
      </c>
      <c r="G27" s="17" t="s">
        <v>17</v>
      </c>
      <c r="H27" s="17">
        <v>9.74</v>
      </c>
      <c r="I27" s="17" t="s">
        <v>32</v>
      </c>
      <c r="J27" s="17">
        <v>7.68333333333333</v>
      </c>
      <c r="K27" s="17" t="s">
        <v>32</v>
      </c>
      <c r="L27" s="17">
        <v>16.8366666666667</v>
      </c>
      <c r="M27" s="13" t="s">
        <v>17</v>
      </c>
      <c r="N27" s="17">
        <v>18.0133333333333</v>
      </c>
      <c r="O27" t="s">
        <v>17</v>
      </c>
      <c r="Q27" s="18" t="s">
        <v>30</v>
      </c>
      <c r="R27" s="18" t="s">
        <v>36</v>
      </c>
      <c r="S27" s="21" t="s">
        <v>14</v>
      </c>
      <c r="T27" s="20" t="s">
        <v>17</v>
      </c>
      <c r="U27" s="20" t="s">
        <v>32</v>
      </c>
      <c r="V27" s="20" t="s">
        <v>32</v>
      </c>
      <c r="W27" s="22" t="s">
        <v>17</v>
      </c>
      <c r="X27" s="18" t="s">
        <v>17</v>
      </c>
    </row>
    <row r="28" spans="2:32">
      <c r="C28" t="s">
        <v>37</v>
      </c>
      <c r="D28" t="s">
        <v>38</v>
      </c>
      <c r="E28" s="10" t="s">
        <v>20</v>
      </c>
      <c r="F28" s="17">
        <v>10.0366666666667</v>
      </c>
      <c r="G28" s="17" t="s">
        <v>32</v>
      </c>
      <c r="H28" s="17">
        <v>0</v>
      </c>
      <c r="I28" s="17" t="s">
        <v>32</v>
      </c>
      <c r="J28" s="17">
        <v>0</v>
      </c>
      <c r="K28" s="17" t="s">
        <v>32</v>
      </c>
      <c r="L28" s="17">
        <v>0</v>
      </c>
      <c r="M28" s="17" t="s">
        <v>32</v>
      </c>
      <c r="N28" s="17">
        <v>10.75</v>
      </c>
      <c r="O28" s="17" t="s">
        <v>32</v>
      </c>
      <c r="Q28" s="18" t="s">
        <v>37</v>
      </c>
      <c r="R28" s="18" t="s">
        <v>38</v>
      </c>
      <c r="S28" s="21" t="s">
        <v>20</v>
      </c>
      <c r="T28" s="20" t="s">
        <v>32</v>
      </c>
      <c r="U28" s="20" t="s">
        <v>32</v>
      </c>
      <c r="V28" s="20" t="s">
        <v>32</v>
      </c>
      <c r="W28" s="20" t="s">
        <v>32</v>
      </c>
      <c r="X28" s="20" t="s">
        <v>32</v>
      </c>
    </row>
    <row r="29" spans="2:32">
      <c r="C29" t="s">
        <v>39</v>
      </c>
      <c r="D29" t="s">
        <v>40</v>
      </c>
      <c r="E29" s="10" t="s">
        <v>5</v>
      </c>
      <c r="F29" s="17">
        <v>18.64</v>
      </c>
      <c r="G29" s="17" t="s">
        <v>32</v>
      </c>
      <c r="H29" s="17">
        <v>8.44666666666667</v>
      </c>
      <c r="I29" s="17" t="s">
        <v>32</v>
      </c>
      <c r="J29" s="17">
        <v>12.4566666666667</v>
      </c>
      <c r="K29" s="17" t="s">
        <v>32</v>
      </c>
      <c r="L29" s="17">
        <v>26.8933333333333</v>
      </c>
      <c r="M29" s="13" t="s">
        <v>17</v>
      </c>
      <c r="N29" s="17">
        <v>28.8333333333333</v>
      </c>
      <c r="O29" s="13" t="s">
        <v>17</v>
      </c>
      <c r="Q29" s="18" t="s">
        <v>39</v>
      </c>
      <c r="R29" s="18" t="s">
        <v>40</v>
      </c>
      <c r="S29" s="21" t="s">
        <v>5</v>
      </c>
      <c r="T29" s="20" t="s">
        <v>32</v>
      </c>
      <c r="U29" s="20" t="s">
        <v>32</v>
      </c>
      <c r="V29" s="20" t="s">
        <v>32</v>
      </c>
      <c r="W29" s="22" t="s">
        <v>17</v>
      </c>
      <c r="X29" s="22" t="s">
        <v>17</v>
      </c>
    </row>
    <row r="30" spans="2:32">
      <c r="C30" t="s">
        <v>39</v>
      </c>
      <c r="D30" t="s">
        <v>41</v>
      </c>
      <c r="E30" s="10" t="s">
        <v>6</v>
      </c>
      <c r="F30" s="17">
        <v>17.8733333333333</v>
      </c>
      <c r="G30" s="17" t="s">
        <v>17</v>
      </c>
      <c r="H30" s="17">
        <v>9.91</v>
      </c>
      <c r="I30" s="17" t="s">
        <v>32</v>
      </c>
      <c r="J30" s="17">
        <v>14.98</v>
      </c>
      <c r="K30" s="17" t="s">
        <v>33</v>
      </c>
      <c r="L30" s="17">
        <v>13.5366666666667</v>
      </c>
      <c r="M30" s="17" t="s">
        <v>33</v>
      </c>
      <c r="N30" s="17">
        <v>14.9133333333333</v>
      </c>
      <c r="O30" t="s">
        <v>33</v>
      </c>
      <c r="Q30" s="18" t="s">
        <v>39</v>
      </c>
      <c r="R30" s="18" t="s">
        <v>41</v>
      </c>
      <c r="S30" s="21" t="s">
        <v>6</v>
      </c>
      <c r="T30" s="20" t="s">
        <v>17</v>
      </c>
      <c r="U30" s="20" t="s">
        <v>32</v>
      </c>
      <c r="V30" s="20" t="s">
        <v>33</v>
      </c>
      <c r="W30" s="20" t="s">
        <v>33</v>
      </c>
      <c r="X30" s="18" t="s">
        <v>33</v>
      </c>
    </row>
    <row r="31" spans="2:32">
      <c r="C31" t="s">
        <v>39</v>
      </c>
      <c r="D31" t="s">
        <v>42</v>
      </c>
      <c r="E31" s="10" t="s">
        <v>7</v>
      </c>
      <c r="F31" s="17">
        <v>15.17</v>
      </c>
      <c r="G31" s="17" t="s">
        <v>32</v>
      </c>
      <c r="H31" s="17">
        <v>13.1866666666667</v>
      </c>
      <c r="I31" s="17" t="s">
        <v>32</v>
      </c>
      <c r="J31" s="17">
        <v>15.2633333333333</v>
      </c>
      <c r="K31" s="17" t="s">
        <v>32</v>
      </c>
      <c r="L31" s="17">
        <v>13.54</v>
      </c>
      <c r="M31" s="17" t="s">
        <v>32</v>
      </c>
      <c r="N31" s="17">
        <v>13.8966666666667</v>
      </c>
      <c r="O31" s="17" t="s">
        <v>32</v>
      </c>
      <c r="Q31" s="18" t="s">
        <v>39</v>
      </c>
      <c r="R31" s="18" t="s">
        <v>42</v>
      </c>
      <c r="S31" s="21" t="s">
        <v>7</v>
      </c>
      <c r="T31" s="20" t="s">
        <v>32</v>
      </c>
      <c r="U31" s="20" t="s">
        <v>32</v>
      </c>
      <c r="V31" s="20" t="s">
        <v>32</v>
      </c>
      <c r="W31" s="20" t="s">
        <v>32</v>
      </c>
      <c r="X31" s="20" t="s">
        <v>32</v>
      </c>
    </row>
    <row r="32" spans="2:32">
      <c r="C32" t="s">
        <v>43</v>
      </c>
      <c r="D32" t="s">
        <v>44</v>
      </c>
      <c r="E32" s="10" t="s">
        <v>18</v>
      </c>
      <c r="F32" s="17">
        <v>31.9066666666667</v>
      </c>
      <c r="G32" s="17" t="s">
        <v>17</v>
      </c>
      <c r="H32" s="17">
        <v>32.9866666666667</v>
      </c>
      <c r="I32" s="17" t="s">
        <v>17</v>
      </c>
      <c r="J32" s="17">
        <v>18.1066666666667</v>
      </c>
      <c r="K32" s="17" t="s">
        <v>17</v>
      </c>
      <c r="L32" s="17">
        <v>31.7533333333333</v>
      </c>
      <c r="M32" s="17" t="s">
        <v>17</v>
      </c>
      <c r="N32" s="17">
        <v>35.4166666666667</v>
      </c>
      <c r="O32" s="17" t="s">
        <v>17</v>
      </c>
      <c r="Q32" s="18" t="s">
        <v>43</v>
      </c>
      <c r="R32" s="18" t="s">
        <v>44</v>
      </c>
      <c r="S32" s="21" t="s">
        <v>18</v>
      </c>
      <c r="T32" s="20" t="s">
        <v>17</v>
      </c>
      <c r="U32" s="20" t="s">
        <v>17</v>
      </c>
      <c r="V32" s="20" t="s">
        <v>17</v>
      </c>
      <c r="W32" s="20" t="s">
        <v>17</v>
      </c>
      <c r="X32" s="20" t="s">
        <v>17</v>
      </c>
    </row>
    <row r="33" spans="3:24">
      <c r="C33" t="s">
        <v>43</v>
      </c>
      <c r="D33" t="s">
        <v>45</v>
      </c>
      <c r="E33" s="10" t="s">
        <v>24</v>
      </c>
      <c r="F33" s="17">
        <v>27.94</v>
      </c>
      <c r="G33" s="17" t="s">
        <v>17</v>
      </c>
      <c r="H33" s="17">
        <v>25.47</v>
      </c>
      <c r="I33" s="17" t="s">
        <v>17</v>
      </c>
      <c r="J33" s="17">
        <v>18.4066666666667</v>
      </c>
      <c r="K33" s="17" t="s">
        <v>17</v>
      </c>
      <c r="L33" s="17">
        <v>25.1766666666667</v>
      </c>
      <c r="M33" s="17" t="s">
        <v>17</v>
      </c>
      <c r="N33" s="17">
        <v>24.7633333333333</v>
      </c>
      <c r="O33" s="17" t="s">
        <v>17</v>
      </c>
      <c r="Q33" s="18" t="s">
        <v>43</v>
      </c>
      <c r="R33" s="18" t="s">
        <v>45</v>
      </c>
      <c r="S33" s="21" t="s">
        <v>24</v>
      </c>
      <c r="T33" s="20" t="s">
        <v>17</v>
      </c>
      <c r="U33" s="20" t="s">
        <v>17</v>
      </c>
      <c r="V33" s="20" t="s">
        <v>17</v>
      </c>
      <c r="W33" s="20" t="s">
        <v>17</v>
      </c>
      <c r="X33" s="20" t="s">
        <v>17</v>
      </c>
    </row>
    <row r="34" spans="3:24">
      <c r="C34" t="s">
        <v>43</v>
      </c>
      <c r="D34" t="s">
        <v>46</v>
      </c>
      <c r="E34" s="10" t="s">
        <v>19</v>
      </c>
      <c r="F34" s="17">
        <v>26.36</v>
      </c>
      <c r="G34" s="17" t="s">
        <v>17</v>
      </c>
      <c r="H34" s="17">
        <v>25.02</v>
      </c>
      <c r="I34" s="17" t="s">
        <v>17</v>
      </c>
      <c r="J34" s="17">
        <v>20.5</v>
      </c>
      <c r="K34" s="17" t="s">
        <v>17</v>
      </c>
      <c r="L34" s="17">
        <v>26.3866666666667</v>
      </c>
      <c r="M34" s="17" t="s">
        <v>17</v>
      </c>
      <c r="N34" s="17">
        <v>24.8733333333333</v>
      </c>
      <c r="O34" s="17" t="s">
        <v>17</v>
      </c>
      <c r="Q34" s="18" t="s">
        <v>43</v>
      </c>
      <c r="R34" s="18" t="s">
        <v>46</v>
      </c>
      <c r="S34" s="21" t="s">
        <v>19</v>
      </c>
      <c r="T34" s="20" t="s">
        <v>17</v>
      </c>
      <c r="U34" s="20" t="s">
        <v>17</v>
      </c>
      <c r="V34" s="20" t="s">
        <v>17</v>
      </c>
      <c r="W34" s="20" t="s">
        <v>17</v>
      </c>
      <c r="X34" s="20" t="s">
        <v>17</v>
      </c>
    </row>
    <row r="35" spans="3:24">
      <c r="C35" t="s">
        <v>47</v>
      </c>
      <c r="D35" t="s">
        <v>48</v>
      </c>
      <c r="E35" s="10" t="s">
        <v>23</v>
      </c>
      <c r="F35" s="17">
        <v>32.46</v>
      </c>
      <c r="G35" s="17" t="s">
        <v>17</v>
      </c>
      <c r="H35" s="17">
        <v>12.9266666666667</v>
      </c>
      <c r="I35" s="17" t="s">
        <v>17</v>
      </c>
      <c r="J35" s="17">
        <v>14.5833333333333</v>
      </c>
      <c r="K35" s="17" t="s">
        <v>17</v>
      </c>
      <c r="L35" s="17">
        <v>14.3466666666667</v>
      </c>
      <c r="M35" s="17" t="s">
        <v>17</v>
      </c>
      <c r="N35" s="17">
        <v>14.5366666666667</v>
      </c>
      <c r="O35" s="17" t="s">
        <v>17</v>
      </c>
      <c r="Q35" s="18" t="s">
        <v>47</v>
      </c>
      <c r="R35" s="18" t="s">
        <v>48</v>
      </c>
      <c r="S35" s="21" t="s">
        <v>23</v>
      </c>
      <c r="T35" s="20" t="s">
        <v>17</v>
      </c>
      <c r="U35" s="20" t="s">
        <v>17</v>
      </c>
      <c r="V35" s="20" t="s">
        <v>17</v>
      </c>
      <c r="W35" s="20" t="s">
        <v>17</v>
      </c>
      <c r="X35" s="20" t="s">
        <v>17</v>
      </c>
    </row>
    <row r="36" spans="3:24">
      <c r="C36" t="s">
        <v>49</v>
      </c>
      <c r="D36" t="s">
        <v>50</v>
      </c>
      <c r="E36" s="10" t="s">
        <v>22</v>
      </c>
      <c r="F36" s="17">
        <v>0</v>
      </c>
      <c r="G36" s="17" t="s">
        <v>32</v>
      </c>
      <c r="H36" s="17">
        <v>0</v>
      </c>
      <c r="I36" s="17" t="s">
        <v>32</v>
      </c>
      <c r="J36" s="17">
        <v>0</v>
      </c>
      <c r="K36" s="17" t="s">
        <v>32</v>
      </c>
      <c r="L36" s="17">
        <v>0</v>
      </c>
      <c r="M36" s="17" t="s">
        <v>32</v>
      </c>
      <c r="N36" s="17">
        <v>0</v>
      </c>
      <c r="O36" s="17" t="s">
        <v>32</v>
      </c>
      <c r="Q36" s="18" t="s">
        <v>49</v>
      </c>
      <c r="R36" s="18" t="s">
        <v>50</v>
      </c>
      <c r="S36" s="21" t="s">
        <v>22</v>
      </c>
      <c r="T36" s="20" t="s">
        <v>32</v>
      </c>
      <c r="U36" s="20" t="s">
        <v>32</v>
      </c>
      <c r="V36" s="20" t="s">
        <v>32</v>
      </c>
      <c r="W36" s="20" t="s">
        <v>32</v>
      </c>
      <c r="X36" s="20" t="s">
        <v>32</v>
      </c>
    </row>
    <row r="37" spans="3:24">
      <c r="C37" t="s">
        <v>51</v>
      </c>
      <c r="D37" t="s">
        <v>52</v>
      </c>
      <c r="E37" s="10" t="s">
        <v>8</v>
      </c>
      <c r="F37" s="17">
        <v>29.6033333333333</v>
      </c>
      <c r="G37" s="17" t="s">
        <v>17</v>
      </c>
      <c r="H37" s="17">
        <v>29.8866666666667</v>
      </c>
      <c r="I37" s="17" t="s">
        <v>17</v>
      </c>
      <c r="J37" s="17">
        <v>30.38</v>
      </c>
      <c r="K37" s="17" t="s">
        <v>17</v>
      </c>
      <c r="L37" s="17">
        <v>29.1066666666667</v>
      </c>
      <c r="M37" s="17" t="s">
        <v>17</v>
      </c>
      <c r="N37" s="17">
        <v>29.7266666666667</v>
      </c>
      <c r="O37" s="17" t="s">
        <v>17</v>
      </c>
      <c r="Q37" s="18" t="s">
        <v>51</v>
      </c>
      <c r="R37" s="18" t="s">
        <v>52</v>
      </c>
      <c r="S37" s="21" t="s">
        <v>8</v>
      </c>
      <c r="T37" s="20" t="s">
        <v>17</v>
      </c>
      <c r="U37" s="20" t="s">
        <v>17</v>
      </c>
      <c r="V37" s="20" t="s">
        <v>17</v>
      </c>
      <c r="W37" s="20" t="s">
        <v>17</v>
      </c>
      <c r="X37" s="20" t="s">
        <v>17</v>
      </c>
    </row>
    <row r="38" spans="3:24">
      <c r="C38" t="s">
        <v>51</v>
      </c>
      <c r="D38" t="s">
        <v>53</v>
      </c>
      <c r="E38" s="10" t="s">
        <v>9</v>
      </c>
      <c r="F38" s="17">
        <v>29.02</v>
      </c>
      <c r="G38" s="17" t="s">
        <v>17</v>
      </c>
      <c r="H38" s="17">
        <v>16.51</v>
      </c>
      <c r="I38" s="17" t="s">
        <v>32</v>
      </c>
      <c r="J38" s="17">
        <v>15.67</v>
      </c>
      <c r="K38" s="17" t="s">
        <v>32</v>
      </c>
      <c r="L38" s="17">
        <v>15.35</v>
      </c>
      <c r="M38" s="17" t="s">
        <v>32</v>
      </c>
      <c r="N38" s="17">
        <v>16.318</v>
      </c>
      <c r="O38" s="17" t="s">
        <v>32</v>
      </c>
      <c r="Q38" s="18" t="s">
        <v>51</v>
      </c>
      <c r="R38" s="18" t="s">
        <v>53</v>
      </c>
      <c r="S38" s="21" t="s">
        <v>9</v>
      </c>
      <c r="T38" s="20" t="s">
        <v>17</v>
      </c>
      <c r="U38" s="20" t="s">
        <v>32</v>
      </c>
      <c r="V38" s="20" t="s">
        <v>32</v>
      </c>
      <c r="W38" s="20" t="s">
        <v>32</v>
      </c>
      <c r="X38" s="20" t="s">
        <v>32</v>
      </c>
    </row>
    <row r="39" spans="3:24">
      <c r="C39" t="s">
        <v>51</v>
      </c>
      <c r="D39" t="s">
        <v>54</v>
      </c>
      <c r="E39" s="10" t="s">
        <v>10</v>
      </c>
      <c r="F39" s="17">
        <v>15.8766666666667</v>
      </c>
      <c r="G39" s="17" t="s">
        <v>33</v>
      </c>
      <c r="H39" s="17">
        <v>22.8633333333333</v>
      </c>
      <c r="I39" s="13" t="s">
        <v>17</v>
      </c>
      <c r="J39" s="17">
        <v>20.19</v>
      </c>
      <c r="K39" s="13" t="s">
        <v>17</v>
      </c>
      <c r="L39" s="17">
        <v>16.6966666666667</v>
      </c>
      <c r="M39" s="17" t="s">
        <v>33</v>
      </c>
      <c r="N39" s="17">
        <v>20.04</v>
      </c>
      <c r="O39" t="s">
        <v>17</v>
      </c>
      <c r="Q39" s="18" t="s">
        <v>51</v>
      </c>
      <c r="R39" s="18" t="s">
        <v>54</v>
      </c>
      <c r="S39" s="21" t="s">
        <v>10</v>
      </c>
      <c r="T39" s="20" t="s">
        <v>33</v>
      </c>
      <c r="U39" s="22" t="s">
        <v>17</v>
      </c>
      <c r="V39" s="22" t="s">
        <v>17</v>
      </c>
      <c r="W39" s="20" t="s">
        <v>33</v>
      </c>
      <c r="X39" s="18" t="s">
        <v>17</v>
      </c>
    </row>
    <row r="40" spans="3:24">
      <c r="C40" t="s">
        <v>51</v>
      </c>
      <c r="D40" t="s">
        <v>55</v>
      </c>
      <c r="E40" s="10" t="s">
        <v>11</v>
      </c>
      <c r="F40" s="17">
        <v>13.04</v>
      </c>
      <c r="G40" s="17" t="s">
        <v>32</v>
      </c>
      <c r="H40" s="17">
        <v>17.0966666666667</v>
      </c>
      <c r="I40" s="17" t="s">
        <v>32</v>
      </c>
      <c r="J40" s="17">
        <v>16.9</v>
      </c>
      <c r="K40" s="17" t="s">
        <v>32</v>
      </c>
      <c r="L40" s="17">
        <v>14.6666666666667</v>
      </c>
      <c r="M40" s="17" t="s">
        <v>32</v>
      </c>
      <c r="N40" s="17">
        <v>15.5833333333333</v>
      </c>
      <c r="O40" s="17" t="s">
        <v>32</v>
      </c>
      <c r="Q40" s="18" t="s">
        <v>51</v>
      </c>
      <c r="R40" s="18" t="s">
        <v>55</v>
      </c>
      <c r="S40" s="21" t="s">
        <v>11</v>
      </c>
      <c r="T40" s="20" t="s">
        <v>32</v>
      </c>
      <c r="U40" s="20" t="s">
        <v>32</v>
      </c>
      <c r="V40" s="20" t="s">
        <v>32</v>
      </c>
      <c r="W40" s="20" t="s">
        <v>32</v>
      </c>
      <c r="X40" s="20" t="s">
        <v>32</v>
      </c>
    </row>
    <row r="41" spans="3:24">
      <c r="C41" t="s">
        <v>51</v>
      </c>
      <c r="D41" t="s">
        <v>56</v>
      </c>
      <c r="E41" s="10" t="s">
        <v>12</v>
      </c>
      <c r="F41" s="17">
        <v>16.08</v>
      </c>
      <c r="G41" s="17" t="s">
        <v>17</v>
      </c>
      <c r="H41" s="17">
        <v>23.2966666666667</v>
      </c>
      <c r="I41" s="17" t="s">
        <v>17</v>
      </c>
      <c r="J41" s="17">
        <v>29.2</v>
      </c>
      <c r="K41" s="17" t="s">
        <v>17</v>
      </c>
      <c r="L41" s="17">
        <v>29.0433333333333</v>
      </c>
      <c r="M41" s="17" t="s">
        <v>17</v>
      </c>
      <c r="N41" s="17">
        <v>22.6033333333333</v>
      </c>
      <c r="O41" s="17" t="s">
        <v>17</v>
      </c>
      <c r="Q41" s="18" t="s">
        <v>51</v>
      </c>
      <c r="R41" s="18" t="s">
        <v>56</v>
      </c>
      <c r="S41" s="21" t="s">
        <v>12</v>
      </c>
      <c r="T41" s="20" t="s">
        <v>17</v>
      </c>
      <c r="U41" s="20" t="s">
        <v>17</v>
      </c>
      <c r="V41" s="20" t="s">
        <v>17</v>
      </c>
      <c r="W41" s="20" t="s">
        <v>17</v>
      </c>
      <c r="X41" s="20" t="s">
        <v>17</v>
      </c>
    </row>
    <row r="42" spans="3:24">
      <c r="C42" t="s">
        <v>51</v>
      </c>
      <c r="D42" t="s">
        <v>57</v>
      </c>
      <c r="E42" s="10" t="s">
        <v>13</v>
      </c>
      <c r="F42" s="17">
        <v>31.7666666666667</v>
      </c>
      <c r="G42" s="17" t="s">
        <v>17</v>
      </c>
      <c r="H42" s="17">
        <v>28.3666666666667</v>
      </c>
      <c r="I42" s="17" t="s">
        <v>17</v>
      </c>
      <c r="J42" s="17">
        <v>21.3133333333333</v>
      </c>
      <c r="K42" s="17" t="s">
        <v>17</v>
      </c>
      <c r="L42" s="17">
        <v>26.81</v>
      </c>
      <c r="M42" s="17" t="s">
        <v>17</v>
      </c>
      <c r="N42" s="17">
        <v>25.1533333333333</v>
      </c>
      <c r="O42" s="17" t="s">
        <v>17</v>
      </c>
      <c r="Q42" s="18" t="s">
        <v>51</v>
      </c>
      <c r="R42" s="18" t="s">
        <v>57</v>
      </c>
      <c r="S42" s="21" t="s">
        <v>13</v>
      </c>
      <c r="T42" s="20" t="s">
        <v>17</v>
      </c>
      <c r="U42" s="20" t="s">
        <v>17</v>
      </c>
      <c r="V42" s="20" t="s">
        <v>17</v>
      </c>
      <c r="W42" s="20" t="s">
        <v>17</v>
      </c>
      <c r="X42" s="20" t="s">
        <v>17</v>
      </c>
    </row>
    <row r="43" spans="3:24">
      <c r="C43" t="s">
        <v>58</v>
      </c>
      <c r="D43" t="s">
        <v>59</v>
      </c>
      <c r="E43" s="10" t="s">
        <v>21</v>
      </c>
      <c r="F43" s="17">
        <v>19.7233333333333</v>
      </c>
      <c r="G43" s="17" t="s">
        <v>17</v>
      </c>
      <c r="H43" s="17">
        <v>16.6333333333333</v>
      </c>
      <c r="I43" s="17" t="s">
        <v>17</v>
      </c>
      <c r="J43" s="17">
        <v>0</v>
      </c>
      <c r="K43" s="17" t="s">
        <v>32</v>
      </c>
      <c r="L43" s="17">
        <v>18.47</v>
      </c>
      <c r="M43" s="17" t="s">
        <v>17</v>
      </c>
      <c r="N43" s="17">
        <v>19.01</v>
      </c>
      <c r="O43" s="17" t="s">
        <v>17</v>
      </c>
      <c r="Q43" s="18" t="s">
        <v>58</v>
      </c>
      <c r="R43" s="18" t="s">
        <v>59</v>
      </c>
      <c r="S43" s="21" t="s">
        <v>21</v>
      </c>
      <c r="T43" s="20" t="s">
        <v>17</v>
      </c>
      <c r="U43" s="20" t="s">
        <v>17</v>
      </c>
      <c r="V43" s="20" t="s">
        <v>32</v>
      </c>
      <c r="W43" s="20" t="s">
        <v>17</v>
      </c>
      <c r="X43" s="20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F47" sqref="F47"/>
    </sheetView>
  </sheetViews>
  <sheetFormatPr defaultColWidth="9" defaultRowHeight="13.5"/>
  <cols>
    <col min="1" max="1" width="11.8916666666667" customWidth="1"/>
    <col min="2" max="2" width="14" customWidth="1"/>
    <col min="3" max="3" width="14.375" customWidth="1"/>
    <col min="4" max="4" width="14.125" customWidth="1"/>
  </cols>
  <sheetData>
    <row r="1" ht="15" spans="1:10">
      <c r="A1" t="s">
        <v>28</v>
      </c>
      <c r="B1" t="s">
        <v>29</v>
      </c>
      <c r="C1" s="1" t="s">
        <v>60</v>
      </c>
      <c r="D1" s="2" t="s">
        <v>61</v>
      </c>
      <c r="E1" s="2" t="s">
        <v>27</v>
      </c>
      <c r="F1" s="3" t="s">
        <v>0</v>
      </c>
      <c r="G1" s="3" t="s">
        <v>1</v>
      </c>
      <c r="H1" s="3" t="s">
        <v>2</v>
      </c>
      <c r="I1" s="4" t="s">
        <v>3</v>
      </c>
      <c r="J1" s="3" t="s">
        <v>4</v>
      </c>
    </row>
    <row r="2" ht="15" spans="1:10">
      <c r="A2" t="s">
        <v>30</v>
      </c>
      <c r="B2" t="s">
        <v>31</v>
      </c>
      <c r="C2" s="5" t="s">
        <v>62</v>
      </c>
      <c r="D2" s="4" t="s">
        <v>63</v>
      </c>
      <c r="E2" s="4" t="s">
        <v>15</v>
      </c>
      <c r="F2" s="6" t="s">
        <v>32</v>
      </c>
      <c r="G2" s="6" t="s">
        <v>33</v>
      </c>
      <c r="H2" s="6" t="s">
        <v>32</v>
      </c>
      <c r="I2" s="6" t="s">
        <v>32</v>
      </c>
      <c r="J2" s="3" t="s">
        <v>17</v>
      </c>
    </row>
    <row r="3" ht="15" spans="1:10">
      <c r="A3" t="s">
        <v>30</v>
      </c>
      <c r="B3" t="s">
        <v>34</v>
      </c>
      <c r="C3" s="5" t="s">
        <v>64</v>
      </c>
      <c r="D3" s="4" t="s">
        <v>63</v>
      </c>
      <c r="E3" s="7" t="s">
        <v>16</v>
      </c>
      <c r="F3" s="6" t="s">
        <v>33</v>
      </c>
      <c r="G3" s="6" t="s">
        <v>33</v>
      </c>
      <c r="H3" s="6" t="s">
        <v>32</v>
      </c>
      <c r="I3" s="6" t="s">
        <v>33</v>
      </c>
      <c r="J3" s="3" t="s">
        <v>17</v>
      </c>
    </row>
    <row r="4" ht="15" spans="1:10">
      <c r="A4" t="s">
        <v>30</v>
      </c>
      <c r="B4" t="s">
        <v>35</v>
      </c>
      <c r="C4" s="5" t="s">
        <v>65</v>
      </c>
      <c r="D4" s="4" t="s">
        <v>63</v>
      </c>
      <c r="E4" s="7" t="s">
        <v>17</v>
      </c>
      <c r="F4" s="6" t="s">
        <v>32</v>
      </c>
      <c r="G4" s="6" t="s">
        <v>32</v>
      </c>
      <c r="H4" s="6" t="s">
        <v>32</v>
      </c>
      <c r="I4" s="6" t="s">
        <v>32</v>
      </c>
      <c r="J4" s="6" t="s">
        <v>32</v>
      </c>
    </row>
    <row r="5" ht="15" spans="1:10">
      <c r="A5" t="s">
        <v>30</v>
      </c>
      <c r="B5" t="s">
        <v>36</v>
      </c>
      <c r="C5" s="5" t="s">
        <v>66</v>
      </c>
      <c r="D5" s="4" t="s">
        <v>63</v>
      </c>
      <c r="E5" s="7" t="s">
        <v>14</v>
      </c>
      <c r="F5" s="6" t="s">
        <v>17</v>
      </c>
      <c r="G5" s="6" t="s">
        <v>32</v>
      </c>
      <c r="H5" s="6" t="s">
        <v>32</v>
      </c>
      <c r="I5" s="8" t="s">
        <v>17</v>
      </c>
      <c r="J5" s="3" t="s">
        <v>17</v>
      </c>
    </row>
    <row r="6" ht="15" spans="1:10">
      <c r="A6" t="s">
        <v>37</v>
      </c>
      <c r="B6" t="s">
        <v>38</v>
      </c>
      <c r="C6" s="5" t="s">
        <v>67</v>
      </c>
      <c r="D6" s="7" t="s">
        <v>68</v>
      </c>
      <c r="E6" s="7" t="s">
        <v>20</v>
      </c>
      <c r="F6" s="6" t="s">
        <v>32</v>
      </c>
      <c r="G6" s="6" t="s">
        <v>32</v>
      </c>
      <c r="H6" s="6" t="s">
        <v>32</v>
      </c>
      <c r="I6" s="6" t="s">
        <v>32</v>
      </c>
      <c r="J6" s="6" t="s">
        <v>32</v>
      </c>
    </row>
    <row r="7" ht="15" spans="1:10">
      <c r="A7" t="s">
        <v>39</v>
      </c>
      <c r="B7" t="s">
        <v>40</v>
      </c>
      <c r="C7" s="5" t="s">
        <v>69</v>
      </c>
      <c r="D7" s="7" t="s">
        <v>70</v>
      </c>
      <c r="E7" s="7" t="s">
        <v>5</v>
      </c>
      <c r="F7" s="6" t="s">
        <v>32</v>
      </c>
      <c r="G7" s="6" t="s">
        <v>32</v>
      </c>
      <c r="H7" s="6" t="s">
        <v>32</v>
      </c>
      <c r="I7" s="8" t="s">
        <v>17</v>
      </c>
      <c r="J7" s="8" t="s">
        <v>17</v>
      </c>
    </row>
    <row r="8" ht="15" spans="1:10">
      <c r="A8" t="s">
        <v>39</v>
      </c>
      <c r="B8" t="s">
        <v>41</v>
      </c>
      <c r="C8" s="5" t="s">
        <v>71</v>
      </c>
      <c r="D8" s="7" t="s">
        <v>70</v>
      </c>
      <c r="E8" s="7" t="s">
        <v>6</v>
      </c>
      <c r="F8" s="6" t="s">
        <v>17</v>
      </c>
      <c r="G8" s="6" t="s">
        <v>32</v>
      </c>
      <c r="H8" s="6" t="s">
        <v>33</v>
      </c>
      <c r="I8" s="6" t="s">
        <v>33</v>
      </c>
      <c r="J8" s="3" t="s">
        <v>33</v>
      </c>
    </row>
    <row r="9" ht="15" spans="1:10">
      <c r="A9" t="s">
        <v>39</v>
      </c>
      <c r="B9" t="s">
        <v>42</v>
      </c>
      <c r="C9" s="5" t="s">
        <v>72</v>
      </c>
      <c r="D9" s="7" t="s">
        <v>70</v>
      </c>
      <c r="E9" s="7" t="s">
        <v>7</v>
      </c>
      <c r="F9" s="6" t="s">
        <v>32</v>
      </c>
      <c r="G9" s="6" t="s">
        <v>32</v>
      </c>
      <c r="H9" s="6" t="s">
        <v>32</v>
      </c>
      <c r="I9" s="6" t="s">
        <v>32</v>
      </c>
      <c r="J9" s="6" t="s">
        <v>32</v>
      </c>
    </row>
    <row r="10" ht="15" spans="1:10">
      <c r="A10" t="s">
        <v>43</v>
      </c>
      <c r="B10" t="s">
        <v>44</v>
      </c>
      <c r="C10" s="5" t="s">
        <v>73</v>
      </c>
      <c r="D10" s="7" t="s">
        <v>74</v>
      </c>
      <c r="E10" s="7" t="s">
        <v>18</v>
      </c>
      <c r="F10" s="6" t="s">
        <v>17</v>
      </c>
      <c r="G10" s="6" t="s">
        <v>17</v>
      </c>
      <c r="H10" s="6" t="s">
        <v>17</v>
      </c>
      <c r="I10" s="6" t="s">
        <v>17</v>
      </c>
      <c r="J10" s="6" t="s">
        <v>17</v>
      </c>
    </row>
    <row r="11" ht="15" spans="1:10">
      <c r="A11" t="s">
        <v>43</v>
      </c>
      <c r="B11" t="s">
        <v>45</v>
      </c>
      <c r="C11" s="5" t="s">
        <v>75</v>
      </c>
      <c r="D11" s="7" t="s">
        <v>74</v>
      </c>
      <c r="E11" s="7" t="s">
        <v>24</v>
      </c>
      <c r="F11" s="6" t="s">
        <v>17</v>
      </c>
      <c r="G11" s="6" t="s">
        <v>17</v>
      </c>
      <c r="H11" s="6" t="s">
        <v>17</v>
      </c>
      <c r="I11" s="6" t="s">
        <v>17</v>
      </c>
      <c r="J11" s="6" t="s">
        <v>17</v>
      </c>
    </row>
    <row r="12" ht="15" spans="1:10">
      <c r="A12" t="s">
        <v>43</v>
      </c>
      <c r="B12" t="s">
        <v>46</v>
      </c>
      <c r="C12" s="5" t="s">
        <v>76</v>
      </c>
      <c r="D12" s="7" t="s">
        <v>74</v>
      </c>
      <c r="E12" s="7" t="s">
        <v>19</v>
      </c>
      <c r="F12" s="6" t="s">
        <v>17</v>
      </c>
      <c r="G12" s="6" t="s">
        <v>17</v>
      </c>
      <c r="H12" s="6" t="s">
        <v>17</v>
      </c>
      <c r="I12" s="6" t="s">
        <v>17</v>
      </c>
      <c r="J12" s="6" t="s">
        <v>17</v>
      </c>
    </row>
    <row r="13" ht="15" spans="1:10">
      <c r="A13" t="s">
        <v>47</v>
      </c>
      <c r="B13" t="s">
        <v>48</v>
      </c>
      <c r="C13" s="5" t="s">
        <v>77</v>
      </c>
      <c r="D13" s="7" t="s">
        <v>78</v>
      </c>
      <c r="E13" s="7" t="s">
        <v>23</v>
      </c>
      <c r="F13" s="6" t="s">
        <v>17</v>
      </c>
      <c r="G13" s="6" t="s">
        <v>17</v>
      </c>
      <c r="H13" s="6" t="s">
        <v>17</v>
      </c>
      <c r="I13" s="6" t="s">
        <v>17</v>
      </c>
      <c r="J13" s="6" t="s">
        <v>17</v>
      </c>
    </row>
    <row r="14" ht="15" spans="1:10">
      <c r="A14" t="s">
        <v>49</v>
      </c>
      <c r="B14" t="s">
        <v>50</v>
      </c>
      <c r="C14" s="5" t="s">
        <v>79</v>
      </c>
      <c r="D14" s="7" t="s">
        <v>80</v>
      </c>
      <c r="E14" s="7" t="s">
        <v>22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</row>
    <row r="15" ht="15" spans="1:10">
      <c r="A15" t="s">
        <v>51</v>
      </c>
      <c r="B15" t="s">
        <v>52</v>
      </c>
      <c r="C15" s="5" t="s">
        <v>81</v>
      </c>
      <c r="D15" s="7" t="s">
        <v>82</v>
      </c>
      <c r="E15" s="7" t="s">
        <v>8</v>
      </c>
      <c r="F15" s="6" t="s">
        <v>17</v>
      </c>
      <c r="G15" s="6" t="s">
        <v>17</v>
      </c>
      <c r="H15" s="6" t="s">
        <v>17</v>
      </c>
      <c r="I15" s="6" t="s">
        <v>17</v>
      </c>
      <c r="J15" s="6" t="s">
        <v>17</v>
      </c>
    </row>
    <row r="16" ht="15" spans="1:10">
      <c r="A16" t="s">
        <v>51</v>
      </c>
      <c r="B16" t="s">
        <v>53</v>
      </c>
      <c r="C16" s="5" t="s">
        <v>83</v>
      </c>
      <c r="D16" s="7" t="s">
        <v>82</v>
      </c>
      <c r="E16" s="7" t="s">
        <v>9</v>
      </c>
      <c r="F16" s="6" t="s">
        <v>17</v>
      </c>
      <c r="G16" s="6" t="s">
        <v>32</v>
      </c>
      <c r="H16" s="6" t="s">
        <v>32</v>
      </c>
      <c r="I16" s="6" t="s">
        <v>32</v>
      </c>
      <c r="J16" s="6" t="s">
        <v>32</v>
      </c>
    </row>
    <row r="17" ht="15" spans="1:10">
      <c r="A17" t="s">
        <v>51</v>
      </c>
      <c r="B17" t="s">
        <v>54</v>
      </c>
      <c r="C17" s="5" t="s">
        <v>84</v>
      </c>
      <c r="D17" s="7" t="s">
        <v>82</v>
      </c>
      <c r="E17" s="7" t="s">
        <v>10</v>
      </c>
      <c r="F17" s="6" t="s">
        <v>33</v>
      </c>
      <c r="G17" s="8" t="s">
        <v>17</v>
      </c>
      <c r="H17" s="8" t="s">
        <v>17</v>
      </c>
      <c r="I17" s="6" t="s">
        <v>33</v>
      </c>
      <c r="J17" s="3" t="s">
        <v>17</v>
      </c>
    </row>
    <row r="18" ht="15" spans="1:10">
      <c r="A18" t="s">
        <v>51</v>
      </c>
      <c r="B18" t="s">
        <v>55</v>
      </c>
      <c r="C18" s="5" t="s">
        <v>85</v>
      </c>
      <c r="D18" s="7" t="s">
        <v>82</v>
      </c>
      <c r="E18" s="7" t="s">
        <v>11</v>
      </c>
      <c r="F18" s="6" t="s">
        <v>32</v>
      </c>
      <c r="G18" s="6" t="s">
        <v>32</v>
      </c>
      <c r="H18" s="6" t="s">
        <v>32</v>
      </c>
      <c r="I18" s="6" t="s">
        <v>32</v>
      </c>
      <c r="J18" s="6" t="s">
        <v>32</v>
      </c>
    </row>
    <row r="19" ht="15" spans="1:10">
      <c r="A19" t="s">
        <v>51</v>
      </c>
      <c r="B19" t="s">
        <v>56</v>
      </c>
      <c r="C19" s="5" t="s">
        <v>86</v>
      </c>
      <c r="D19" s="7" t="s">
        <v>82</v>
      </c>
      <c r="E19" s="7" t="s">
        <v>12</v>
      </c>
      <c r="F19" s="6" t="s">
        <v>17</v>
      </c>
      <c r="G19" s="6" t="s">
        <v>17</v>
      </c>
      <c r="H19" s="6" t="s">
        <v>17</v>
      </c>
      <c r="I19" s="6" t="s">
        <v>17</v>
      </c>
      <c r="J19" s="6" t="s">
        <v>17</v>
      </c>
    </row>
    <row r="20" ht="15" spans="1:10">
      <c r="A20" t="s">
        <v>51</v>
      </c>
      <c r="B20" t="s">
        <v>57</v>
      </c>
      <c r="C20" s="5" t="s">
        <v>87</v>
      </c>
      <c r="D20" s="7" t="s">
        <v>82</v>
      </c>
      <c r="E20" s="7" t="s">
        <v>13</v>
      </c>
      <c r="F20" s="6" t="s">
        <v>17</v>
      </c>
      <c r="G20" s="6" t="s">
        <v>17</v>
      </c>
      <c r="H20" s="6" t="s">
        <v>17</v>
      </c>
      <c r="I20" s="6" t="s">
        <v>17</v>
      </c>
      <c r="J20" s="6" t="s">
        <v>17</v>
      </c>
    </row>
    <row r="21" ht="15" spans="1:10">
      <c r="A21" t="s">
        <v>58</v>
      </c>
      <c r="B21" t="s">
        <v>59</v>
      </c>
      <c r="C21" s="5" t="s">
        <v>88</v>
      </c>
      <c r="D21" s="7" t="s">
        <v>89</v>
      </c>
      <c r="E21" s="7" t="s">
        <v>21</v>
      </c>
      <c r="F21" s="6" t="s">
        <v>17</v>
      </c>
      <c r="G21" s="6" t="s">
        <v>17</v>
      </c>
      <c r="H21" s="6" t="s">
        <v>32</v>
      </c>
      <c r="I21" s="6" t="s">
        <v>17</v>
      </c>
      <c r="J21" s="6" t="s">
        <v>17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U37" sqref="U3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宋金慧</dc:creator>
  <cp:lastModifiedBy>沈红叶</cp:lastModifiedBy>
  <dcterms:created xsi:type="dcterms:W3CDTF">2023-05-12T11:15:00Z</dcterms:created>
  <dcterms:modified xsi:type="dcterms:W3CDTF">2025-12-16T08:16:15Z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CCD27AE1275843EFB0F9B54214CFAA6D_12</vt:lpwstr>
  </property>
  <property fmtid="{D5CDD505-2E9C-101B-9397-08002B2CF9AE}" pid="4" name="CalculationRule">
    <vt:i4>0</vt:i4>
  </property>
</Properties>
</file>